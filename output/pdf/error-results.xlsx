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erke\OneDrive\Desktop\invertible-architectures-benchmark\outputs\run-metrics-20261025-5e8d\"/>
    </mc:Choice>
  </mc:AlternateContent>
  <xr:revisionPtr revIDLastSave="0" documentId="13_ncr:1_{9F616DF7-78B6-4F4B-9D0E-8BF73B1E2F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C5" i="2" s="1"/>
  <c r="D4" i="2"/>
  <c r="C4" i="2" s="1"/>
  <c r="D3" i="2"/>
  <c r="C3" i="2" s="1"/>
  <c r="D2" i="2"/>
  <c r="C2" i="2" s="1"/>
</calcChain>
</file>

<file path=xl/sharedStrings.xml><?xml version="1.0" encoding="utf-8"?>
<sst xmlns="http://schemas.openxmlformats.org/spreadsheetml/2006/main" count="55" uniqueCount="48">
  <si>
    <t>Run</t>
  </si>
  <si>
    <t>Kinematics Err_post</t>
  </si>
  <si>
    <t>Kinematics Err_resim</t>
  </si>
  <si>
    <t>Ballistics Err_post</t>
  </si>
  <si>
    <t>Ballistics Err_resim</t>
  </si>
  <si>
    <t>K16_s0 (MDN)</t>
  </si>
  <si>
    <t>bf_fmpe_s0</t>
  </si>
  <si>
    <t>bf_npse_p1000000_s0</t>
  </si>
  <si>
    <t>bf_npse_p300000_s0</t>
  </si>
  <si>
    <t>bf_npse_s0</t>
  </si>
  <si>
    <t>bf_npse_s1</t>
  </si>
  <si>
    <t>bf_npse_s2</t>
  </si>
  <si>
    <t>cfmpe_s0</t>
  </si>
  <si>
    <t>cinn_s0</t>
  </si>
  <si>
    <t>cinn_s1</t>
  </si>
  <si>
    <t>cinn_s2</t>
  </si>
  <si>
    <t>cvae_s0</t>
  </si>
  <si>
    <t>fff_s0</t>
  </si>
  <si>
    <t>fif_p3_s0 (paper)</t>
  </si>
  <si>
    <t>fif_s0 (MLP)</t>
  </si>
  <si>
    <t>fmpe_a0_s0</t>
  </si>
  <si>
    <t>fmpe_a4_s0</t>
  </si>
  <si>
    <t>fmpe_p1000000_s0</t>
  </si>
  <si>
    <t>fmpe_p300000_s0</t>
  </si>
  <si>
    <t>fmpe_s0</t>
  </si>
  <si>
    <t>fmpe_s1</t>
  </si>
  <si>
    <t>fmpe_s2</t>
  </si>
  <si>
    <t>ilnn_ml_s0</t>
  </si>
  <si>
    <t>ilnn_mmd_s0</t>
  </si>
  <si>
    <t>inn_l2mmd_s0</t>
  </si>
  <si>
    <t>inn_l2mmd_s1</t>
  </si>
  <si>
    <t>inn_l2mmd_s2</t>
  </si>
  <si>
    <t>inn_ml_s0</t>
  </si>
  <si>
    <t>inn_ml_s1</t>
  </si>
  <si>
    <t>inn_ml_s2</t>
  </si>
  <si>
    <t>invertible_s0</t>
  </si>
  <si>
    <t>standard_s0</t>
  </si>
  <si>
    <t>mfff_s0</t>
  </si>
  <si>
    <t>—</t>
  </si>
  <si>
    <t>mfff_wrapped_b400_s0</t>
  </si>
  <si>
    <t>Problem</t>
  </si>
  <si>
    <t>Metric</t>
  </si>
  <si>
    <t>Best model (run)</t>
  </si>
  <si>
    <t>Lowest error</t>
  </si>
  <si>
    <t>Kinematics</t>
  </si>
  <si>
    <t>Err_post</t>
  </si>
  <si>
    <t>Err_resim</t>
  </si>
  <si>
    <t>Ballistics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</si>
</sst>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"/>
    <numFmt numFmtId="165" formatCode="0.000000000"/>
    <numFmt numFmtId="167" formatCode="0.0000000"/>
    <numFmt numFmtId="168" formatCode="0.000000"/>
    <numFmt numFmtId="169" formatCode="0.00000"/>
    <numFmt numFmtId="170" formatCode="0.0000000000"/>
    <numFmt numFmtId="171" formatCode="0.00000000000"/>
  </numFmts>
  <fonts count="5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  <font>
      <sz val="11"/>
      <color rgb="FF65748B"/>
      <name val="Arial"/>
    </font>
    <font>
      <b/>
      <sz val="11"/>
      <color rgb="FF172B4D"/>
      <name val="Arial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0F4F8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8" fontId="1" fillId="3" borderId="0" xfId="0" applyNumberFormat="1" applyFont="1" applyFill="1" applyAlignment="1">
      <alignment horizontal="right" vertical="center"/>
    </xf>
    <xf numFmtId="167" fontId="1" fillId="4" borderId="0" xfId="0" applyNumberFormat="1" applyFont="1" applyFill="1" applyAlignment="1">
      <alignment horizontal="right" vertical="center"/>
    </xf>
    <xf numFmtId="169" fontId="1" fillId="4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2" fontId="4" fillId="3" borderId="0" xfId="0" applyNumberFormat="1" applyFont="1" applyFill="1" applyAlignment="1">
      <alignment horizontal="right" vertical="center"/>
    </xf>
    <xf numFmtId="170" fontId="1" fillId="4" borderId="0" xfId="0" applyNumberFormat="1" applyFont="1" applyFill="1" applyAlignment="1">
      <alignment horizontal="right" vertical="center"/>
    </xf>
    <xf numFmtId="170" fontId="1" fillId="3" borderId="0" xfId="0" applyNumberFormat="1" applyFont="1" applyFill="1" applyAlignment="1">
      <alignment horizontal="right" vertical="center"/>
    </xf>
    <xf numFmtId="171" fontId="1" fillId="4" borderId="0" xfId="0" applyNumberFormat="1" applyFont="1" applyFill="1" applyAlignment="1">
      <alignment horizontal="right" vertical="center"/>
    </xf>
    <xf numFmtId="171" fontId="1" fillId="3" borderId="0" xfId="0" applyNumberFormat="1" applyFont="1" applyFill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165" fontId="4" fillId="3" borderId="0" xfId="0" applyNumberFormat="1" applyFont="1" applyFill="1" applyAlignment="1">
      <alignment horizontal="right" vertical="center"/>
    </xf>
    <xf numFmtId="171" fontId="4" fillId="4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70" fontId="4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nErrors" displayName="RunErrors" ref="A1:E35" totalsRowShown="0">
  <autoFilter ref="A1:E35" xr:uid="{00000000-0009-0000-0100-000001000000}"/>
  <tableColumns count="5">
    <tableColumn id="1" xr3:uid="{00000000-0010-0000-0000-000001000000}" name="Run"/>
    <tableColumn id="2" xr3:uid="{00000000-0010-0000-0000-000002000000}" name="Kinematics Err_post"/>
    <tableColumn id="3" xr3:uid="{00000000-0010-0000-0000-000003000000}" name="Kinematics Err_resim"/>
    <tableColumn id="4" xr3:uid="{00000000-0010-0000-0000-000004000000}" name="Ballistics Err_post"/>
    <tableColumn id="5" xr3:uid="{00000000-0010-0000-0000-000005000000}" name="Ballistics Err_resi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ricSummary" displayName="MetricSummary" ref="A1:D5" totalsRowShown="0">
  <autoFilter ref="A1:D5" xr:uid="{00000000-0009-0000-0100-000002000000}"/>
  <tableColumns count="4">
    <tableColumn id="1" xr3:uid="{00000000-0010-0000-0100-000001000000}" name="Problem"/>
    <tableColumn id="2" xr3:uid="{00000000-0010-0000-0100-000002000000}" name="Metric"/>
    <tableColumn id="3" xr3:uid="{00000000-0010-0000-0100-000003000000}" name="Best model (run)"/>
    <tableColumn id="4" xr3:uid="{00000000-0010-0000-0100-000004000000}" name="Lowest 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E35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34" customWidth="1"/>
    <col min="2" max="5" width="27" customWidth="1"/>
  </cols>
  <sheetData>
    <row r="1" spans="1:5" ht="34.049999999999997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2.95" customHeight="1">
      <c r="A2" s="16" t="s">
        <v>5</v>
      </c>
      <c r="B2" s="5">
        <v>3.1107299999999999E-3</v>
      </c>
      <c r="C2" s="6">
        <v>6.7145200000000001E-4</v>
      </c>
      <c r="D2" s="5">
        <v>7.12782E-3</v>
      </c>
      <c r="E2" s="5">
        <v>1.20094E-3</v>
      </c>
    </row>
    <row r="3" spans="1:5" ht="22.95" customHeight="1">
      <c r="A3" s="7" t="s">
        <v>6</v>
      </c>
      <c r="B3" s="8">
        <v>2.12677E-3</v>
      </c>
      <c r="C3" s="19">
        <v>1.2807500000000001E-5</v>
      </c>
      <c r="D3" s="8">
        <v>7.3401600000000001E-3</v>
      </c>
      <c r="E3" s="9">
        <v>1.9021700000000001E-4</v>
      </c>
    </row>
    <row r="4" spans="1:5" ht="22.95" customHeight="1">
      <c r="A4" s="4" t="s">
        <v>7</v>
      </c>
      <c r="B4" s="5">
        <v>1.74004E-3</v>
      </c>
      <c r="C4" s="20">
        <v>6.0827099999999999E-5</v>
      </c>
      <c r="D4" s="5">
        <v>7.1354399999999998E-3</v>
      </c>
      <c r="E4" s="6">
        <v>4.6070300000000002E-4</v>
      </c>
    </row>
    <row r="5" spans="1:5" ht="22.95" customHeight="1">
      <c r="A5" s="7" t="s">
        <v>8</v>
      </c>
      <c r="B5" s="8">
        <v>1.7219500000000001E-3</v>
      </c>
      <c r="C5" s="19">
        <v>6.7106899999999999E-5</v>
      </c>
      <c r="D5" s="8">
        <v>7.14359E-3</v>
      </c>
      <c r="E5" s="9">
        <v>4.8469300000000002E-4</v>
      </c>
    </row>
    <row r="6" spans="1:5" ht="22.95" customHeight="1">
      <c r="A6" s="4" t="s">
        <v>9</v>
      </c>
      <c r="B6" s="5">
        <v>1.77341E-3</v>
      </c>
      <c r="C6" s="20">
        <v>6.2042400000000001E-5</v>
      </c>
      <c r="D6" s="5">
        <v>7.1088100000000001E-3</v>
      </c>
      <c r="E6" s="6">
        <v>4.4135099999999998E-4</v>
      </c>
    </row>
    <row r="7" spans="1:5" ht="22.95" customHeight="1">
      <c r="A7" s="7" t="s">
        <v>10</v>
      </c>
      <c r="B7" s="8">
        <v>1.7479399999999999E-3</v>
      </c>
      <c r="C7" s="19">
        <v>6.2266800000000005E-5</v>
      </c>
      <c r="D7" s="8">
        <v>7.15002E-3</v>
      </c>
      <c r="E7" s="9">
        <v>4.6933700000000001E-4</v>
      </c>
    </row>
    <row r="8" spans="1:5" ht="22.95" customHeight="1">
      <c r="A8" s="4" t="s">
        <v>11</v>
      </c>
      <c r="B8" s="5">
        <v>1.85462E-3</v>
      </c>
      <c r="C8" s="20">
        <v>5.84697E-5</v>
      </c>
      <c r="D8" s="5">
        <v>7.13176E-3</v>
      </c>
      <c r="E8" s="6">
        <v>4.3517300000000002E-4</v>
      </c>
    </row>
    <row r="9" spans="1:5" ht="22.95" customHeight="1">
      <c r="A9" s="7" t="s">
        <v>12</v>
      </c>
      <c r="B9" s="8">
        <v>1.6738899999999999E-3</v>
      </c>
      <c r="C9" s="21">
        <v>3.1196300000000001E-6</v>
      </c>
      <c r="D9" s="8">
        <v>7.1266799999999998E-3</v>
      </c>
      <c r="E9" s="19">
        <v>5.6567100000000003E-5</v>
      </c>
    </row>
    <row r="10" spans="1:5" ht="22.95" customHeight="1">
      <c r="A10" s="4" t="s">
        <v>13</v>
      </c>
      <c r="B10" s="5">
        <v>3.5201899999999999E-3</v>
      </c>
      <c r="C10" s="20">
        <v>1.09646E-5</v>
      </c>
      <c r="D10" s="10">
        <v>1.0132199999999999E-2</v>
      </c>
      <c r="E10" s="11">
        <v>0.12261</v>
      </c>
    </row>
    <row r="11" spans="1:5" ht="22.95" customHeight="1">
      <c r="A11" s="7" t="s">
        <v>14</v>
      </c>
      <c r="B11" s="8">
        <v>3.0619000000000002E-3</v>
      </c>
      <c r="C11" s="19">
        <v>1.63262E-5</v>
      </c>
      <c r="D11" s="8">
        <v>6.9666199999999998E-3</v>
      </c>
      <c r="E11" s="19">
        <v>1.91541E-5</v>
      </c>
    </row>
    <row r="12" spans="1:5" ht="22.95" customHeight="1">
      <c r="A12" s="4" t="s">
        <v>15</v>
      </c>
      <c r="B12" s="5">
        <v>3.5363899999999999E-3</v>
      </c>
      <c r="C12" s="22">
        <v>6.6930299999999997E-6</v>
      </c>
      <c r="D12" s="5">
        <v>4.72077E-3</v>
      </c>
      <c r="E12" s="6">
        <v>8.8385099999999995E-4</v>
      </c>
    </row>
    <row r="13" spans="1:5" ht="22.95" customHeight="1">
      <c r="A13" s="7" t="s">
        <v>16</v>
      </c>
      <c r="B13" s="12">
        <v>1.6944500000000001E-2</v>
      </c>
      <c r="C13" s="9">
        <v>9.6475800000000002E-4</v>
      </c>
      <c r="D13" s="8">
        <v>8.7873099999999996E-3</v>
      </c>
      <c r="E13" s="8">
        <v>1.37871E-3</v>
      </c>
    </row>
    <row r="14" spans="1:5" ht="22.95" customHeight="1">
      <c r="A14" s="4" t="s">
        <v>17</v>
      </c>
      <c r="B14" s="6">
        <v>2.4689599999999998E-4</v>
      </c>
      <c r="C14" s="6">
        <v>2.3160800000000001E-4</v>
      </c>
      <c r="D14" s="5">
        <v>7.4320699999999998E-3</v>
      </c>
      <c r="E14" s="6">
        <v>8.9873600000000002E-4</v>
      </c>
    </row>
    <row r="15" spans="1:5" ht="22.95" customHeight="1">
      <c r="A15" s="17" t="s">
        <v>18</v>
      </c>
      <c r="B15" s="12">
        <v>3.0697599999999998E-2</v>
      </c>
      <c r="C15" s="9">
        <v>8.5184200000000001E-4</v>
      </c>
      <c r="D15" s="12">
        <v>2.0232199999999999E-2</v>
      </c>
      <c r="E15" s="12">
        <v>2.7842800000000001E-2</v>
      </c>
    </row>
    <row r="16" spans="1:5" ht="22.95" customHeight="1">
      <c r="A16" s="16" t="s">
        <v>19</v>
      </c>
      <c r="B16" s="5">
        <v>2.7935899999999999E-3</v>
      </c>
      <c r="C16" s="6">
        <v>2.70041E-4</v>
      </c>
      <c r="D16" s="5">
        <v>1.3400899999999999E-3</v>
      </c>
      <c r="E16" s="10">
        <v>2.6532E-2</v>
      </c>
    </row>
    <row r="17" spans="1:5" ht="22.95" customHeight="1">
      <c r="A17" s="7" t="s">
        <v>20</v>
      </c>
      <c r="B17" s="8">
        <v>1.6053700000000001E-3</v>
      </c>
      <c r="C17" s="21">
        <v>6.63127E-6</v>
      </c>
      <c r="D17" s="8">
        <v>7.1114100000000003E-3</v>
      </c>
      <c r="E17" s="19">
        <v>9.0681999999999997E-5</v>
      </c>
    </row>
    <row r="18" spans="1:5" ht="22.95" customHeight="1">
      <c r="A18" s="4" t="s">
        <v>21</v>
      </c>
      <c r="B18" s="5">
        <v>2.2045400000000001E-3</v>
      </c>
      <c r="C18" s="6">
        <v>1.06358E-4</v>
      </c>
      <c r="D18" s="5">
        <v>7.21953E-3</v>
      </c>
      <c r="E18" s="20">
        <v>3.6998600000000002E-5</v>
      </c>
    </row>
    <row r="19" spans="1:5" ht="22.95" customHeight="1">
      <c r="A19" s="7" t="s">
        <v>22</v>
      </c>
      <c r="B19" s="8">
        <v>1.6351499999999999E-3</v>
      </c>
      <c r="C19" s="21">
        <v>3.1094700000000001E-6</v>
      </c>
      <c r="D19" s="8">
        <v>7.1120100000000002E-3</v>
      </c>
      <c r="E19" s="19">
        <v>6.3952400000000001E-5</v>
      </c>
    </row>
    <row r="20" spans="1:5" ht="22.95" customHeight="1">
      <c r="A20" s="4" t="s">
        <v>23</v>
      </c>
      <c r="B20" s="5">
        <v>1.6165000000000001E-3</v>
      </c>
      <c r="C20" s="22">
        <v>3.62072E-6</v>
      </c>
      <c r="D20" s="5">
        <v>7.1096299999999996E-3</v>
      </c>
      <c r="E20" s="20">
        <v>5.7833400000000001E-5</v>
      </c>
    </row>
    <row r="21" spans="1:5" ht="22.95" customHeight="1">
      <c r="A21" s="7" t="s">
        <v>24</v>
      </c>
      <c r="B21" s="8">
        <v>1.6360000000000001E-3</v>
      </c>
      <c r="C21" s="21">
        <v>2.7384400000000002E-6</v>
      </c>
      <c r="D21" s="8">
        <v>7.1156600000000002E-3</v>
      </c>
      <c r="E21" s="19">
        <v>4.4551300000000002E-5</v>
      </c>
    </row>
    <row r="22" spans="1:5" ht="22.95" customHeight="1">
      <c r="A22" s="4" t="s">
        <v>25</v>
      </c>
      <c r="B22" s="5">
        <v>1.6148200000000001E-3</v>
      </c>
      <c r="C22" s="22">
        <v>3.4389499999999999E-6</v>
      </c>
      <c r="D22" s="5">
        <v>7.10913E-3</v>
      </c>
      <c r="E22" s="20">
        <v>5.8546199999999999E-5</v>
      </c>
    </row>
    <row r="23" spans="1:5" ht="22.95" customHeight="1">
      <c r="A23" s="7" t="s">
        <v>26</v>
      </c>
      <c r="B23" s="8">
        <v>1.6244E-3</v>
      </c>
      <c r="C23" s="21">
        <v>4.0741599999999996E-6</v>
      </c>
      <c r="D23" s="8">
        <v>7.11599E-3</v>
      </c>
      <c r="E23" s="19">
        <v>6.4183299999999999E-5</v>
      </c>
    </row>
    <row r="24" spans="1:5" ht="22.95" customHeight="1">
      <c r="A24" s="4" t="s">
        <v>27</v>
      </c>
      <c r="B24" s="5">
        <v>4.8866200000000004E-3</v>
      </c>
      <c r="C24" s="6">
        <v>1.2573900000000001E-4</v>
      </c>
      <c r="D24" s="5">
        <v>7.1099500000000003E-3</v>
      </c>
      <c r="E24" s="6">
        <v>1.1359E-4</v>
      </c>
    </row>
    <row r="25" spans="1:5" ht="22.95" customHeight="1">
      <c r="A25" s="7" t="s">
        <v>28</v>
      </c>
      <c r="B25" s="12">
        <v>2.2889699999999999E-2</v>
      </c>
      <c r="C25" s="8">
        <v>2.7522900000000001E-3</v>
      </c>
      <c r="D25" s="8">
        <v>8.8398999999999995E-3</v>
      </c>
      <c r="E25" s="12">
        <v>1.3945300000000001E-2</v>
      </c>
    </row>
    <row r="26" spans="1:5" ht="22.95" customHeight="1">
      <c r="A26" s="4" t="s">
        <v>29</v>
      </c>
      <c r="B26" s="10">
        <v>2.0023900000000001E-2</v>
      </c>
      <c r="C26" s="18">
        <v>599845.02</v>
      </c>
      <c r="D26" s="5">
        <v>8.7307600000000006E-3</v>
      </c>
      <c r="E26" s="5">
        <v>4.0819200000000002E-3</v>
      </c>
    </row>
    <row r="27" spans="1:5" ht="22.95" customHeight="1">
      <c r="A27" s="7" t="s">
        <v>30</v>
      </c>
      <c r="B27" s="12">
        <v>1.08559E-2</v>
      </c>
      <c r="C27" s="8">
        <v>7.9674700000000008E-3</v>
      </c>
      <c r="D27" s="8">
        <v>8.6437500000000004E-3</v>
      </c>
      <c r="E27" s="8">
        <v>3.2534500000000002E-3</v>
      </c>
    </row>
    <row r="28" spans="1:5" ht="22.95" customHeight="1">
      <c r="A28" s="4" t="s">
        <v>31</v>
      </c>
      <c r="B28" s="10">
        <v>1.4813399999999999E-2</v>
      </c>
      <c r="C28" s="10">
        <v>5.4256800000000001E-2</v>
      </c>
      <c r="D28" s="5">
        <v>9.4709700000000004E-3</v>
      </c>
      <c r="E28" s="10">
        <v>2.52824E-2</v>
      </c>
    </row>
    <row r="29" spans="1:5" ht="22.95" customHeight="1">
      <c r="A29" s="7" t="s">
        <v>32</v>
      </c>
      <c r="B29" s="8">
        <v>3.6640599999999998E-3</v>
      </c>
      <c r="C29" s="9">
        <v>2.3016000000000001E-4</v>
      </c>
      <c r="D29" s="12">
        <v>1.9266999999999999E-2</v>
      </c>
      <c r="E29" s="12">
        <v>1.82925E-2</v>
      </c>
    </row>
    <row r="30" spans="1:5" ht="22.95" customHeight="1">
      <c r="A30" s="4" t="s">
        <v>33</v>
      </c>
      <c r="B30" s="5">
        <v>3.6183000000000001E-3</v>
      </c>
      <c r="C30" s="6">
        <v>2.5047600000000002E-4</v>
      </c>
      <c r="D30" s="10">
        <v>2.9776899999999999E-2</v>
      </c>
      <c r="E30" s="5">
        <v>9.3018000000000007E-3</v>
      </c>
    </row>
    <row r="31" spans="1:5" ht="22.95" customHeight="1">
      <c r="A31" s="7" t="s">
        <v>34</v>
      </c>
      <c r="B31" s="8">
        <v>3.3826500000000001E-3</v>
      </c>
      <c r="C31" s="9">
        <v>1.13724E-4</v>
      </c>
      <c r="D31" s="12">
        <v>1.7066100000000001E-2</v>
      </c>
      <c r="E31" s="13">
        <v>1.11093</v>
      </c>
    </row>
    <row r="32" spans="1:5" ht="22.95" customHeight="1">
      <c r="A32" s="4" t="s">
        <v>35</v>
      </c>
      <c r="B32" s="10">
        <v>2.1207E-2</v>
      </c>
      <c r="C32" s="5">
        <v>3.0352000000000001E-3</v>
      </c>
      <c r="D32" s="5">
        <v>8.6052699999999999E-3</v>
      </c>
      <c r="E32" s="5">
        <v>3.8769299999999998E-3</v>
      </c>
    </row>
    <row r="33" spans="1:5" ht="22.95" customHeight="1">
      <c r="A33" s="7" t="s">
        <v>36</v>
      </c>
      <c r="B33" s="8">
        <v>5.2810699999999997E-3</v>
      </c>
      <c r="C33" s="9">
        <v>5.3233999999999996E-4</v>
      </c>
      <c r="D33" s="8">
        <v>8.0576599999999995E-3</v>
      </c>
      <c r="E33" s="8">
        <v>2.5690399999999999E-3</v>
      </c>
    </row>
    <row r="34" spans="1:5" ht="22.95" customHeight="1">
      <c r="A34" s="4" t="s">
        <v>37</v>
      </c>
      <c r="B34" s="10">
        <v>3.59931E-2</v>
      </c>
      <c r="C34" s="10">
        <v>1.0030799999999999E-2</v>
      </c>
      <c r="D34" s="14" t="s">
        <v>38</v>
      </c>
      <c r="E34" s="14" t="s">
        <v>38</v>
      </c>
    </row>
    <row r="35" spans="1:5" ht="22.95" customHeight="1">
      <c r="A35" s="7" t="s">
        <v>39</v>
      </c>
      <c r="B35" s="9">
        <v>5.5807700000000003E-4</v>
      </c>
      <c r="C35" s="9">
        <v>3.7635799999999998E-4</v>
      </c>
      <c r="D35" s="15" t="s">
        <v>38</v>
      </c>
      <c r="E35" s="15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D5"/>
  <sheetViews>
    <sheetView showGridLines="0" tabSelected="1" workbookViewId="0">
      <selection activeCell="D4" sqref="D4"/>
    </sheetView>
  </sheetViews>
  <sheetFormatPr defaultRowHeight="13.8"/>
  <cols>
    <col min="1" max="1" width="18" customWidth="1"/>
    <col min="2" max="2" width="16" customWidth="1"/>
    <col min="3" max="3" width="23" customWidth="1"/>
    <col min="4" max="4" width="25" customWidth="1"/>
    <col min="5" max="5" width="22" customWidth="1"/>
  </cols>
  <sheetData>
    <row r="1" spans="1:4" ht="34.049999999999997" customHeight="1">
      <c r="A1" s="23" t="s">
        <v>40</v>
      </c>
      <c r="B1" s="24" t="s">
        <v>41</v>
      </c>
      <c r="C1" s="24" t="s">
        <v>42</v>
      </c>
      <c r="D1" s="24" t="s">
        <v>43</v>
      </c>
    </row>
    <row r="2" spans="1:4" ht="25.95" customHeight="1">
      <c r="A2" s="25" t="s">
        <v>44</v>
      </c>
      <c r="B2" s="25" t="s">
        <v>45</v>
      </c>
      <c r="C2" s="16" t="str">
        <f>INDEX(Results!$A$2:$A$35,MATCH(D2,Results!$B$2:$B$35,0))</f>
        <v>fff_s0</v>
      </c>
      <c r="D2" s="27">
        <f>MIN(Results!$B$2:$B$35)</f>
        <v>2.4689599999999998E-4</v>
      </c>
    </row>
    <row r="3" spans="1:4" ht="25.95" customHeight="1">
      <c r="A3" s="26" t="s">
        <v>44</v>
      </c>
      <c r="B3" s="26" t="s">
        <v>46</v>
      </c>
      <c r="C3" s="17" t="str">
        <f>INDEX(Results!$A$2:$A$35,MATCH(D3,Results!$C$2:$C$35,0))</f>
        <v>fmpe_s0</v>
      </c>
      <c r="D3" s="28">
        <f>MIN(Results!$C$2:$C$35)</f>
        <v>2.7384400000000002E-6</v>
      </c>
    </row>
    <row r="4" spans="1:4" ht="25.95" customHeight="1">
      <c r="A4" s="25" t="s">
        <v>47</v>
      </c>
      <c r="B4" s="25" t="s">
        <v>45</v>
      </c>
      <c r="C4" s="16" t="str">
        <f>INDEX(Results!$A$2:$A$35,MATCH(D4,Results!$D$2:$D$35,0))</f>
        <v>fif_s0 (MLP)</v>
      </c>
      <c r="D4" s="29">
        <f>MIN(Results!$D$2:$D$35)</f>
        <v>1.3400899999999999E-3</v>
      </c>
    </row>
    <row r="5" spans="1:4" ht="25.95" customHeight="1">
      <c r="A5" s="26" t="s">
        <v>47</v>
      </c>
      <c r="B5" s="26" t="s">
        <v>46</v>
      </c>
      <c r="C5" s="17" t="str">
        <f>INDEX(Results!$A$2:$A$35,MATCH(D5,Results!$E$2:$E$35,0))</f>
        <v>cinn_s1</v>
      </c>
      <c r="D5" s="30">
        <f>MIN(Results!$E$2:$E$35)</f>
        <v>1.91541E-5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Berker Uğraş</cp:lastModifiedBy>
  <dcterms:modified xsi:type="dcterms:W3CDTF">2026-10-25T13:23:20Z</dcterms:modified>
</cp:coreProperties>
</file>