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e81815ed4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5541489e42a423a"/>
    <x:sheet xmlns:r="http://schemas.openxmlformats.org/officeDocument/2006/relationships" name="Summary" sheetId="2" r:id="R181ccbce267c4f3b"/>
  </x:sheets>
</x:workbook>
</file>

<file path=xl/sharedStrings.xml><?xml version="1.0" encoding="utf-8"?>
<x:sst xmlns:x="http://schemas.openxmlformats.org/spreadsheetml/2006/main">
  <x:si>
    <x:t xml:space="preserve">K16_s0 (MDN)</x:t>
  </x:si>
  <x:si>
    <x:t xml:space="preserve">bf_fmpe_s0</x:t>
  </x:si>
  <x:si>
    <x:t xml:space="preserve">bf_npse_p1000000_s0</x:t>
  </x:si>
  <x:si>
    <x:t xml:space="preserve">bf_npse_p300000_s0</x:t>
  </x:si>
  <x:si>
    <x:t xml:space="preserve">bf_npse_s0</x:t>
  </x:si>
  <x:si>
    <x:t xml:space="preserve">bf_npse_s1</x:t>
  </x:si>
  <x:si>
    <x:t xml:space="preserve">bf_npse_s2</x:t>
  </x:si>
  <x:si>
    <x:t xml:space="preserve">cfmpe_s0</x:t>
  </x:si>
  <x:si>
    <x:t xml:space="preserve">cinn_s0</x:t>
  </x:si>
  <x:si>
    <x:t xml:space="preserve">cinn_s1</x:t>
  </x:si>
  <x:si>
    <x:t xml:space="preserve">cinn_s2</x:t>
  </x:si>
  <x:si>
    <x:t xml:space="preserve">cvae_s0</x:t>
  </x:si>
  <x:si>
    <x:t xml:space="preserve">fff_s0</x:t>
  </x:si>
  <x:si>
    <x:t xml:space="preserve">fif_p3_s0 (paper)</x:t>
  </x:si>
  <x:si>
    <x:t xml:space="preserve">fif_s0 (MLP)</x:t>
  </x:si>
  <x:si>
    <x:t xml:space="preserve">fmpe_a0_s0</x:t>
  </x:si>
  <x:si>
    <x:t xml:space="preserve">fmpe_a4_s0</x:t>
  </x:si>
  <x:si>
    <x:t xml:space="preserve">fmpe_p1000000_s0</x:t>
  </x:si>
  <x:si>
    <x:t xml:space="preserve">fmpe_p300000_s0</x:t>
  </x:si>
  <x:si>
    <x:t xml:space="preserve">fmpe_s0</x:t>
  </x:si>
  <x:si>
    <x:t xml:space="preserve">fmpe_s1</x:t>
  </x:si>
  <x:si>
    <x:t xml:space="preserve">fmpe_s2</x:t>
  </x:si>
  <x:si>
    <x:t xml:space="preserve">ilnn_ml_s0</x:t>
  </x:si>
  <x:si>
    <x:t xml:space="preserve">ilnn_mmd_s0</x:t>
  </x:si>
  <x:si>
    <x:t xml:space="preserve">inn_l2mmd_s0</x:t>
  </x:si>
  <x:si>
    <x:t xml:space="preserve">inn_l2mmd_s1</x:t>
  </x:si>
  <x:si>
    <x:t xml:space="preserve">inn_l2mmd_s2</x:t>
  </x:si>
  <x:si>
    <x:t xml:space="preserve">inn_ml_s0</x:t>
  </x:si>
  <x:si>
    <x:t xml:space="preserve">inn_ml_s1</x:t>
  </x:si>
  <x:si>
    <x:t xml:space="preserve">inn_ml_s2</x:t>
  </x:si>
  <x:si>
    <x:t xml:space="preserve">invertible_s0</x:t>
  </x:si>
  <x:si>
    <x:t xml:space="preserve">standard_s0</x:t>
  </x:si>
  <x:si>
    <x:t xml:space="preserve">mfff_s0</x:t>
  </x:si>
  <x:si>
    <x:t xml:space="preserve">—</x:t>
  </x:si>
  <x:si>
    <x:t xml:space="preserve">mfff_wrapped_b400_s0</x:t>
  </x:si>
  <x:si>
    <x:t xml:space="preserve">Problem</x:t>
  </x:si>
  <x:si>
    <x:t xml:space="preserve">Metric</x:t>
  </x:si>
  <x:si>
    <x:t xml:space="preserve">Best model (run)</x:t>
  </x:si>
  <x:si>
    <x:t xml:space="preserve">Lowest error</x:t>
  </x:si>
  <x:si>
    <x:t xml:space="preserve">Kinematics</x:t>
  </x:si>
  <x:si>
    <x:t xml:space="preserve">Err_post</x:t>
  </x:si>
  <x:si>
    <x:t xml:space="preserve">Ballistics</x:t>
  </x:si>
</x:sst>
</file>

<file path=xl/styles.xml><?xml version="1.0" encoding="utf-8"?>
<x:styleSheet xmlns:x="http://schemas.openxmlformats.org/spreadsheetml/2006/main">
  <x:numFmts count="7">
    <x:numFmt numFmtId="164" formatCode="0.00000000"/>
    <x:numFmt numFmtId="165" formatCode="0.000000000"/>
    <x:numFmt numFmtId="167" formatCode="0.0000000"/>
    <x:numFmt numFmtId="168" formatCode="0.000000"/>
    <x:numFmt numFmtId="169" formatCode="0.00000"/>
    <x:numFmt numFmtId="170" formatCode="0.0000000000"/>
    <x:numFmt numFmtId="171" formatCode="0.00000000000"/>
  </x:numFmts>
  <x:fonts count="5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  <x:font>
      <x:sz val="11"/>
      <x:color rgb="FF65748B"/>
      <x:name val="Arial"/>
    </x:font>
    <x:font>
      <x:b/>
      <x:sz val="11"/>
      <x:color rgb="FF172B4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1" fillId="3" borderId="0" xfId="0" applyFont="1" applyFill="1" applyAlignment="1">
      <x:alignment horizontal="left" vertical="center"/>
    </x:xf>
    <x:xf numFmtId="164" fontId="1" fillId="3" borderId="0" xfId="0" applyNumberFormat="1" applyFont="1" applyFill="1" applyAlignment="1">
      <x:alignment horizontal="right" vertical="center"/>
    </x:xf>
    <x:xf numFmtId="165" fontId="1" fillId="3" borderId="0" xfId="0" applyNumberFormat="1" applyFont="1" applyFill="1" applyAlignment="1">
      <x:alignment horizontal="right" vertical="center"/>
    </x:xf>
    <x:xf numFmtId="0" fontId="1" fillId="4" borderId="0" xfId="0" applyFont="1" applyFill="1" applyAlignment="1">
      <x:alignment horizontal="left" vertical="center"/>
    </x:xf>
    <x:xf numFmtId="164" fontId="1" fillId="4" borderId="0" xfId="0" applyNumberFormat="1" applyFont="1" applyFill="1" applyAlignment="1">
      <x:alignment horizontal="right" vertical="center"/>
    </x:xf>
    <x:xf numFmtId="165" fontId="1" fillId="4" borderId="0" xfId="0" applyNumberFormat="1" applyFont="1" applyFill="1" applyAlignment="1">
      <x:alignment horizontal="right" vertical="center"/>
    </x:xf>
    <x:xf numFmtId="167" fontId="1" fillId="3" borderId="0" xfId="0" applyNumberFormat="1" applyFont="1" applyFill="1" applyAlignment="1">
      <x:alignment horizontal="right" vertical="center"/>
    </x:xf>
    <x:xf numFmtId="168" fontId="1" fillId="3" borderId="0" xfId="0" applyNumberFormat="1" applyFont="1" applyFill="1" applyAlignment="1">
      <x:alignment horizontal="right" vertical="center"/>
    </x:xf>
    <x:xf numFmtId="167" fontId="1" fillId="4" borderId="0" xfId="0" applyNumberFormat="1" applyFont="1" applyFill="1" applyAlignment="1">
      <x:alignment horizontal="right" vertical="center"/>
    </x:xf>
    <x:xf numFmtId="169" fontId="1" fillId="4" borderId="0" xfId="0" applyNumberFormat="1" applyFont="1" applyFill="1" applyAlignment="1">
      <x:alignment horizontal="right" vertical="center"/>
    </x:xf>
    <x:xf numFmtId="0" fontId="3" fillId="3" borderId="0" xfId="0" applyFont="1" applyFill="1" applyAlignment="1">
      <x:alignment horizontal="right" vertical="center"/>
    </x:xf>
    <x:xf numFmtId="0" fontId="3" fillId="4" borderId="0" xfId="0" applyFont="1" applyFill="1" applyAlignment="1">
      <x:alignment horizontal="right" vertical="center"/>
    </x:xf>
    <x:xf numFmtId="0" fontId="4" fillId="3" borderId="0" xfId="0" applyFont="1" applyFill="1" applyAlignment="1">
      <x:alignment horizontal="left" vertical="center"/>
    </x:xf>
    <x:xf numFmtId="0" fontId="4" fillId="4" borderId="0" xfId="0" applyFont="1" applyFill="1" applyAlignment="1">
      <x:alignment horizontal="left" vertical="center"/>
    </x:xf>
    <x:xf numFmtId="2" fontId="4" fillId="3" borderId="0" xfId="0" applyNumberFormat="1" applyFont="1" applyFill="1" applyAlignment="1">
      <x:alignment horizontal="right" vertical="center"/>
    </x:xf>
    <x:xf numFmtId="170" fontId="1" fillId="4" borderId="0" xfId="0" applyNumberFormat="1" applyFont="1" applyFill="1" applyAlignment="1">
      <x:alignment horizontal="right" vertical="center"/>
    </x:xf>
    <x:xf numFmtId="170" fontId="1" fillId="3" borderId="0" xfId="0" applyNumberFormat="1" applyFont="1" applyFill="1" applyAlignment="1">
      <x:alignment horizontal="right" vertical="center"/>
    </x:xf>
    <x:xf numFmtId="171" fontId="1" fillId="4" borderId="0" xfId="0" applyNumberFormat="1" applyFont="1" applyFill="1" applyAlignment="1">
      <x:alignment horizontal="right" vertical="center"/>
    </x:xf>
    <x:xf numFmtId="171" fontId="1" fillId="3" borderId="0" xfId="0" applyNumberFormat="1" applyFont="1" applyFill="1" applyAlignment="1">
      <x:alignment horizontal="right" vertical="center"/>
    </x:xf>
    <x:xf numFmtId="0" fontId="2" fillId="5" borderId="1" xfId="0" applyFont="1" applyFill="1" applyBorder="1" applyAlignment="1">
      <x:alignment horizontal="center" vertical="center" wrapText="1"/>
    </x:xf>
    <x:xf numFmtId="0" fontId="2" fillId="5" borderId="2" xfId="0" applyFont="1" applyFill="1" applyBorder="1" applyAlignment="1">
      <x:alignment horizontal="center" vertical="center" wrapText="1"/>
    </x:xf>
    <x:xf numFmtId="0" fontId="1" fillId="6" borderId="0" xfId="0" applyFont="1" applyFill="1" applyAlignment="1">
      <x:alignment horizontal="left" vertical="center"/>
    </x:xf>
    <x:xf numFmtId="0" fontId="1" fillId="7" borderId="0" xfId="0" applyFont="1" applyFill="1" applyAlignment="1">
      <x:alignment horizontal="left" vertical="center"/>
    </x:xf>
    <x:xf numFmtId="165" fontId="4" fillId="3" borderId="0" xfId="0" applyNumberFormat="1" applyFont="1" applyFill="1" applyAlignment="1">
      <x:alignment horizontal="right" vertical="center"/>
    </x:xf>
    <x:xf numFmtId="171" fontId="4" fillId="4" borderId="0" xfId="0" applyNumberFormat="1" applyFont="1" applyFill="1" applyAlignment="1">
      <x:alignment horizontal="right" vertical="center"/>
    </x:xf>
    <x:xf numFmtId="164" fontId="4" fillId="3" borderId="0" xfId="0" applyNumberFormat="1" applyFont="1" applyFill="1" applyAlignment="1">
      <x:alignment horizontal="right" vertical="center"/>
    </x:xf>
    <x:xf numFmtId="170" fontId="4" fillId="4" borderId="0" xfId="0" applyNumberFormat="1" applyFont="1" applyFill="1" applyAlignment="1">
      <x:alignment horizontal="right"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6d34fd24b4bbe" /><Relationship Type="http://schemas.openxmlformats.org/officeDocument/2006/relationships/theme" Target="/xl/theme/theme1.xml" Id="R330d2ae233a4486a" /><Relationship Type="http://schemas.openxmlformats.org/officeDocument/2006/relationships/sharedStrings" Target="/xl/sharedStrings.xml" Id="Ra57fa2b8492e44e5" /><Relationship Type="http://schemas.openxmlformats.org/officeDocument/2006/relationships/worksheet" Target="/xl/worksheets/sheet1.xml" Id="Rc5541489e42a423a" /><Relationship Type="http://schemas.openxmlformats.org/officeDocument/2006/relationships/worksheet" Target="/xl/worksheets/sheet2.xml" Id="R181ccbce267c4f3b" /></Relationships>
</file>

<file path=xl/tables/table1.xml><?xml version="1.0" encoding="utf-8"?>
<x:table xmlns:x="http://schemas.openxmlformats.org/spreadsheetml/2006/main" id="3" name="RunErrors" displayName="RunErrors" ref="A1:E35" headerRowCount="1" totalsRowCount="0" totalsRowShown="0">
  <x:autoFilter ref="A1:E35"/>
  <x:tableColumns count="5">
    <x:tableColumn id="1" name="Run"/>
    <x:tableColumn id="2" name="Kinematics Err_post"/>
    <x:tableColumn id="3" name="Kinematics Err_resim (unit²)"/>
    <x:tableColumn id="4" name="Ballistics Err_post"/>
    <x:tableColumn id="5" name="Ballistics Err_resim (m²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Summary" displayName="MetricSummary" ref="A1:D5" totalsRowShown="0">
  <x:autoFilter ref="A1:D5"/>
  <x:tableColumns count="4">
    <x:tableColumn id="1" name="Problem"/>
    <x:tableColumn id="2" name="Metric"/>
    <x:tableColumn id="3" name="Best model (run)"/>
    <x:tableColumn id="4" name="Lowest err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6f640296c049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65f7bb8e8e403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4" customWidth="1"/>
    <x:col min="2" max="5" width="27" customWidth="1"/>
  </x:cols>
  <x:sheetData>
    <x:row r="1" ht="34.04999923706055" customHeight="1">
      <x:c r="A1" s="1" t="str">
        <x:v>Run</x:v>
      </x:c>
      <x:c r="B1" s="2" t="str">
        <x:v>Kinematics Err_post</x:v>
      </x:c>
      <x:c r="C1" s="31" t="str">
        <x:v>Kinematics Err_resim (unit²)</x:v>
      </x:c>
      <x:c r="D1" s="2" t="str">
        <x:v>Ballistics Err_post</x:v>
      </x:c>
      <x:c r="E1" s="32" t="str">
        <x:v>Ballistics Err_resim (m²)</x:v>
      </x:c>
    </x:row>
    <x:row r="2" ht="22.950000762939453" customHeight="1">
      <x:c r="A2" s="16" t="s">
        <x:v>0</x:v>
      </x:c>
      <x:c r="B2" s="5">
        <x:v>3.1107299999999999E-3</x:v>
      </x:c>
      <x:c r="C2" s="6">
        <x:v>6.7145200000000001E-4</x:v>
      </x:c>
      <x:c r="D2" s="5">
        <x:v>7.12782E-3</x:v>
      </x:c>
      <x:c r="E2" s="5">
        <x:v>1.20094E-3</x:v>
      </x:c>
    </x:row>
    <x:row r="3" ht="22.950000762939453" customHeight="1">
      <x:c r="A3" s="7" t="s">
        <x:v>1</x:v>
      </x:c>
      <x:c r="B3" s="8">
        <x:v>2.12677E-3</x:v>
      </x:c>
      <x:c r="C3" s="19">
        <x:v>1.2807500000000001E-5</x:v>
      </x:c>
      <x:c r="D3" s="8">
        <x:v>7.3401600000000001E-3</x:v>
      </x:c>
      <x:c r="E3" s="9">
        <x:v>1.9021700000000001E-4</x:v>
      </x:c>
    </x:row>
    <x:row r="4" ht="22.950000762939453" customHeight="1">
      <x:c r="A4" s="4" t="s">
        <x:v>2</x:v>
      </x:c>
      <x:c r="B4" s="5">
        <x:v>1.74004E-3</x:v>
      </x:c>
      <x:c r="C4" s="20">
        <x:v>6.0827099999999999E-5</x:v>
      </x:c>
      <x:c r="D4" s="5">
        <x:v>7.1354399999999998E-3</x:v>
      </x:c>
      <x:c r="E4" s="6">
        <x:v>4.6070300000000002E-4</x:v>
      </x:c>
    </x:row>
    <x:row r="5" ht="22.950000762939453" customHeight="1">
      <x:c r="A5" s="7" t="s">
        <x:v>3</x:v>
      </x:c>
      <x:c r="B5" s="8">
        <x:v>1.7219500000000001E-3</x:v>
      </x:c>
      <x:c r="C5" s="19">
        <x:v>6.7106899999999999E-5</x:v>
      </x:c>
      <x:c r="D5" s="8">
        <x:v>7.14359E-3</x:v>
      </x:c>
      <x:c r="E5" s="9">
        <x:v>4.8469300000000002E-4</x:v>
      </x:c>
    </x:row>
    <x:row r="6" ht="22.950000762939453" customHeight="1">
      <x:c r="A6" s="4" t="s">
        <x:v>4</x:v>
      </x:c>
      <x:c r="B6" s="5">
        <x:v>1.77341E-3</x:v>
      </x:c>
      <x:c r="C6" s="20">
        <x:v>6.2042400000000001E-5</x:v>
      </x:c>
      <x:c r="D6" s="5">
        <x:v>7.1088100000000001E-3</x:v>
      </x:c>
      <x:c r="E6" s="6">
        <x:v>4.4135099999999998E-4</x:v>
      </x:c>
    </x:row>
    <x:row r="7" ht="22.950000762939453" customHeight="1">
      <x:c r="A7" s="7" t="s">
        <x:v>5</x:v>
      </x:c>
      <x:c r="B7" s="8">
        <x:v>1.7479399999999999E-3</x:v>
      </x:c>
      <x:c r="C7" s="19">
        <x:v>6.2266800000000005E-5</x:v>
      </x:c>
      <x:c r="D7" s="8">
        <x:v>7.15002E-3</x:v>
      </x:c>
      <x:c r="E7" s="9">
        <x:v>4.6933700000000001E-4</x:v>
      </x:c>
    </x:row>
    <x:row r="8" ht="22.950000762939453" customHeight="1">
      <x:c r="A8" s="4" t="s">
        <x:v>6</x:v>
      </x:c>
      <x:c r="B8" s="5">
        <x:v>1.85462E-3</x:v>
      </x:c>
      <x:c r="C8" s="20">
        <x:v>5.84697E-5</x:v>
      </x:c>
      <x:c r="D8" s="5">
        <x:v>7.13176E-3</x:v>
      </x:c>
      <x:c r="E8" s="6">
        <x:v>4.3517300000000002E-4</x:v>
      </x:c>
    </x:row>
    <x:row r="9" ht="22.950000762939453" customHeight="1">
      <x:c r="A9" s="7" t="s">
        <x:v>7</x:v>
      </x:c>
      <x:c r="B9" s="8">
        <x:v>1.6738899999999999E-3</x:v>
      </x:c>
      <x:c r="C9" s="21">
        <x:v>3.1196300000000001E-6</x:v>
      </x:c>
      <x:c r="D9" s="8">
        <x:v>7.1266799999999998E-3</x:v>
      </x:c>
      <x:c r="E9" s="19">
        <x:v>5.6567100000000003E-5</x:v>
      </x:c>
    </x:row>
    <x:row r="10" ht="22.950000762939453" customHeight="1">
      <x:c r="A10" s="4" t="s">
        <x:v>8</x:v>
      </x:c>
      <x:c r="B10" s="5">
        <x:v>3.5201899999999999E-3</x:v>
      </x:c>
      <x:c r="C10" s="20">
        <x:v>1.09646E-5</x:v>
      </x:c>
      <x:c r="D10" s="10">
        <x:v>1.0132199999999999E-2</x:v>
      </x:c>
      <x:c r="E10" s="11">
        <x:v>0.12261</x:v>
      </x:c>
    </x:row>
    <x:row r="11" ht="22.950000762939453" customHeight="1">
      <x:c r="A11" s="7" t="s">
        <x:v>9</x:v>
      </x:c>
      <x:c r="B11" s="8">
        <x:v>3.0619000000000002E-3</x:v>
      </x:c>
      <x:c r="C11" s="19">
        <x:v>1.63262E-5</x:v>
      </x:c>
      <x:c r="D11" s="8">
        <x:v>6.9666199999999998E-3</x:v>
      </x:c>
      <x:c r="E11" s="19">
        <x:v>1.91541E-5</x:v>
      </x:c>
    </x:row>
    <x:row r="12" ht="22.950000762939453" customHeight="1">
      <x:c r="A12" s="4" t="s">
        <x:v>10</x:v>
      </x:c>
      <x:c r="B12" s="5">
        <x:v>3.5363899999999999E-3</x:v>
      </x:c>
      <x:c r="C12" s="22">
        <x:v>6.6930299999999997E-6</x:v>
      </x:c>
      <x:c r="D12" s="5">
        <x:v>4.72077E-3</x:v>
      </x:c>
      <x:c r="E12" s="6">
        <x:v>8.8385099999999995E-4</x:v>
      </x:c>
    </x:row>
    <x:row r="13" ht="22.950000762939453" customHeight="1">
      <x:c r="A13" s="7" t="s">
        <x:v>11</x:v>
      </x:c>
      <x:c r="B13" s="12">
        <x:v>1.6944500000000001E-2</x:v>
      </x:c>
      <x:c r="C13" s="9">
        <x:v>9.6475800000000002E-4</x:v>
      </x:c>
      <x:c r="D13" s="8">
        <x:v>8.7873099999999996E-3</x:v>
      </x:c>
      <x:c r="E13" s="8">
        <x:v>1.37871E-3</x:v>
      </x:c>
    </x:row>
    <x:row r="14" ht="22.950000762939453" customHeight="1">
      <x:c r="A14" s="4" t="s">
        <x:v>12</x:v>
      </x:c>
      <x:c r="B14" s="6">
        <x:v>2.4689599999999998E-4</x:v>
      </x:c>
      <x:c r="C14" s="6">
        <x:v>2.3160800000000001E-4</x:v>
      </x:c>
      <x:c r="D14" s="5">
        <x:v>7.4320699999999998E-3</x:v>
      </x:c>
      <x:c r="E14" s="6">
        <x:v>8.9873600000000002E-4</x:v>
      </x:c>
    </x:row>
    <x:row r="15" ht="22.950000762939453" customHeight="1">
      <x:c r="A15" s="17" t="s">
        <x:v>13</x:v>
      </x:c>
      <x:c r="B15" s="12">
        <x:v>3.0697599999999998E-2</x:v>
      </x:c>
      <x:c r="C15" s="9">
        <x:v>8.5184200000000001E-4</x:v>
      </x:c>
      <x:c r="D15" s="12">
        <x:v>2.0232199999999999E-2</x:v>
      </x:c>
      <x:c r="E15" s="12">
        <x:v>2.7842800000000001E-2</x:v>
      </x:c>
    </x:row>
    <x:row r="16" ht="22.950000762939453" customHeight="1">
      <x:c r="A16" s="16" t="s">
        <x:v>14</x:v>
      </x:c>
      <x:c r="B16" s="5">
        <x:v>2.7935899999999999E-3</x:v>
      </x:c>
      <x:c r="C16" s="6">
        <x:v>2.70041E-4</x:v>
      </x:c>
      <x:c r="D16" s="5">
        <x:v>1.3400899999999999E-3</x:v>
      </x:c>
      <x:c r="E16" s="10">
        <x:v>2.6532E-2</x:v>
      </x:c>
    </x:row>
    <x:row r="17" ht="22.950000762939453" customHeight="1">
      <x:c r="A17" s="7" t="s">
        <x:v>15</x:v>
      </x:c>
      <x:c r="B17" s="8">
        <x:v>1.6053700000000001E-3</x:v>
      </x:c>
      <x:c r="C17" s="21">
        <x:v>6.63127E-6</x:v>
      </x:c>
      <x:c r="D17" s="8">
        <x:v>7.1114100000000003E-3</x:v>
      </x:c>
      <x:c r="E17" s="19">
        <x:v>9.0681999999999997E-5</x:v>
      </x:c>
    </x:row>
    <x:row r="18" ht="22.950000762939453" customHeight="1">
      <x:c r="A18" s="4" t="s">
        <x:v>16</x:v>
      </x:c>
      <x:c r="B18" s="5">
        <x:v>2.2045400000000001E-3</x:v>
      </x:c>
      <x:c r="C18" s="6">
        <x:v>1.06358E-4</x:v>
      </x:c>
      <x:c r="D18" s="5">
        <x:v>7.21953E-3</x:v>
      </x:c>
      <x:c r="E18" s="20">
        <x:v>3.6998600000000002E-5</x:v>
      </x:c>
    </x:row>
    <x:row r="19" ht="22.950000762939453" customHeight="1">
      <x:c r="A19" s="7" t="s">
        <x:v>17</x:v>
      </x:c>
      <x:c r="B19" s="8">
        <x:v>1.6351499999999999E-3</x:v>
      </x:c>
      <x:c r="C19" s="21">
        <x:v>3.1094700000000001E-6</x:v>
      </x:c>
      <x:c r="D19" s="8">
        <x:v>7.1120100000000002E-3</x:v>
      </x:c>
      <x:c r="E19" s="19">
        <x:v>6.3952400000000001E-5</x:v>
      </x:c>
    </x:row>
    <x:row r="20" ht="22.950000762939453" customHeight="1">
      <x:c r="A20" s="4" t="s">
        <x:v>18</x:v>
      </x:c>
      <x:c r="B20" s="5">
        <x:v>1.6165000000000001E-3</x:v>
      </x:c>
      <x:c r="C20" s="22">
        <x:v>3.62072E-6</x:v>
      </x:c>
      <x:c r="D20" s="5">
        <x:v>7.1096299999999996E-3</x:v>
      </x:c>
      <x:c r="E20" s="20">
        <x:v>5.7833400000000001E-5</x:v>
      </x:c>
    </x:row>
    <x:row r="21" ht="22.950000762939453" customHeight="1">
      <x:c r="A21" s="7" t="s">
        <x:v>19</x:v>
      </x:c>
      <x:c r="B21" s="8">
        <x:v>1.6360000000000001E-3</x:v>
      </x:c>
      <x:c r="C21" s="21">
        <x:v>2.7384400000000002E-6</x:v>
      </x:c>
      <x:c r="D21" s="8">
        <x:v>7.1156600000000002E-3</x:v>
      </x:c>
      <x:c r="E21" s="19">
        <x:v>4.4551300000000002E-5</x:v>
      </x:c>
    </x:row>
    <x:row r="22" ht="22.950000762939453" customHeight="1">
      <x:c r="A22" s="4" t="s">
        <x:v>20</x:v>
      </x:c>
      <x:c r="B22" s="5">
        <x:v>1.6148200000000001E-3</x:v>
      </x:c>
      <x:c r="C22" s="22">
        <x:v>3.4389499999999999E-6</x:v>
      </x:c>
      <x:c r="D22" s="5">
        <x:v>7.10913E-3</x:v>
      </x:c>
      <x:c r="E22" s="20">
        <x:v>5.8546199999999999E-5</x:v>
      </x:c>
    </x:row>
    <x:row r="23" ht="22.950000762939453" customHeight="1">
      <x:c r="A23" s="7" t="s">
        <x:v>21</x:v>
      </x:c>
      <x:c r="B23" s="8">
        <x:v>1.6244E-3</x:v>
      </x:c>
      <x:c r="C23" s="21">
        <x:v>4.0741599999999996E-6</x:v>
      </x:c>
      <x:c r="D23" s="8">
        <x:v>7.11599E-3</x:v>
      </x:c>
      <x:c r="E23" s="19">
        <x:v>6.4183299999999999E-5</x:v>
      </x:c>
    </x:row>
    <x:row r="24" ht="22.950000762939453" customHeight="1">
      <x:c r="A24" s="4" t="s">
        <x:v>22</x:v>
      </x:c>
      <x:c r="B24" s="5">
        <x:v>4.8866200000000004E-3</x:v>
      </x:c>
      <x:c r="C24" s="6">
        <x:v>1.2573900000000001E-4</x:v>
      </x:c>
      <x:c r="D24" s="5">
        <x:v>7.1099500000000003E-3</x:v>
      </x:c>
      <x:c r="E24" s="6">
        <x:v>1.1359E-4</x:v>
      </x:c>
    </x:row>
    <x:row r="25" ht="22.950000762939453" customHeight="1">
      <x:c r="A25" s="7" t="s">
        <x:v>23</x:v>
      </x:c>
      <x:c r="B25" s="12">
        <x:v>2.2889699999999999E-2</x:v>
      </x:c>
      <x:c r="C25" s="8">
        <x:v>2.7522900000000001E-3</x:v>
      </x:c>
      <x:c r="D25" s="8">
        <x:v>8.8398999999999995E-3</x:v>
      </x:c>
      <x:c r="E25" s="12">
        <x:v>1.3945300000000001E-2</x:v>
      </x:c>
    </x:row>
    <x:row r="26" ht="22.950000762939453" customHeight="1">
      <x:c r="A26" s="4" t="s">
        <x:v>24</x:v>
      </x:c>
      <x:c r="B26" s="10">
        <x:v>2.0023900000000001E-2</x:v>
      </x:c>
      <x:c r="C26" s="18">
        <x:v>599845.02</x:v>
      </x:c>
      <x:c r="D26" s="5">
        <x:v>8.7307600000000006E-3</x:v>
      </x:c>
      <x:c r="E26" s="5">
        <x:v>4.0819200000000002E-3</x:v>
      </x:c>
    </x:row>
    <x:row r="27" ht="22.950000762939453" customHeight="1">
      <x:c r="A27" s="7" t="s">
        <x:v>25</x:v>
      </x:c>
      <x:c r="B27" s="12">
        <x:v>1.08559E-2</x:v>
      </x:c>
      <x:c r="C27" s="8">
        <x:v>7.9674700000000008E-3</x:v>
      </x:c>
      <x:c r="D27" s="8">
        <x:v>8.6437500000000004E-3</x:v>
      </x:c>
      <x:c r="E27" s="8">
        <x:v>3.2534500000000002E-3</x:v>
      </x:c>
    </x:row>
    <x:row r="28" ht="22.950000762939453" customHeight="1">
      <x:c r="A28" s="4" t="s">
        <x:v>26</x:v>
      </x:c>
      <x:c r="B28" s="10">
        <x:v>1.4813399999999999E-2</x:v>
      </x:c>
      <x:c r="C28" s="10">
        <x:v>5.4256800000000001E-2</x:v>
      </x:c>
      <x:c r="D28" s="5">
        <x:v>9.4709700000000004E-3</x:v>
      </x:c>
      <x:c r="E28" s="10">
        <x:v>2.52824E-2</x:v>
      </x:c>
    </x:row>
    <x:row r="29" ht="22.950000762939453" customHeight="1">
      <x:c r="A29" s="7" t="s">
        <x:v>27</x:v>
      </x:c>
      <x:c r="B29" s="8">
        <x:v>3.6640599999999998E-3</x:v>
      </x:c>
      <x:c r="C29" s="9">
        <x:v>2.3016000000000001E-4</x:v>
      </x:c>
      <x:c r="D29" s="12">
        <x:v>1.9266999999999999E-2</x:v>
      </x:c>
      <x:c r="E29" s="12">
        <x:v>1.82925E-2</x:v>
      </x:c>
    </x:row>
    <x:row r="30" ht="22.950000762939453" customHeight="1">
      <x:c r="A30" s="4" t="s">
        <x:v>28</x:v>
      </x:c>
      <x:c r="B30" s="5">
        <x:v>3.6183000000000001E-3</x:v>
      </x:c>
      <x:c r="C30" s="6">
        <x:v>2.5047600000000002E-4</x:v>
      </x:c>
      <x:c r="D30" s="10">
        <x:v>2.9776899999999999E-2</x:v>
      </x:c>
      <x:c r="E30" s="5">
        <x:v>9.3018000000000007E-3</x:v>
      </x:c>
    </x:row>
    <x:row r="31" ht="22.950000762939453" customHeight="1">
      <x:c r="A31" s="7" t="s">
        <x:v>29</x:v>
      </x:c>
      <x:c r="B31" s="8">
        <x:v>3.3826500000000001E-3</x:v>
      </x:c>
      <x:c r="C31" s="9">
        <x:v>1.13724E-4</x:v>
      </x:c>
      <x:c r="D31" s="12">
        <x:v>1.7066100000000001E-2</x:v>
      </x:c>
      <x:c r="E31" s="13">
        <x:v>1.11093</x:v>
      </x:c>
    </x:row>
    <x:row r="32" ht="22.950000762939453" customHeight="1">
      <x:c r="A32" s="4" t="s">
        <x:v>30</x:v>
      </x:c>
      <x:c r="B32" s="10">
        <x:v>2.1207E-2</x:v>
      </x:c>
      <x:c r="C32" s="5">
        <x:v>3.0352000000000001E-3</x:v>
      </x:c>
      <x:c r="D32" s="5">
        <x:v>8.6052699999999999E-3</x:v>
      </x:c>
      <x:c r="E32" s="5">
        <x:v>3.8769299999999998E-3</x:v>
      </x:c>
    </x:row>
    <x:row r="33" ht="22.950000762939453" customHeight="1">
      <x:c r="A33" s="7" t="s">
        <x:v>31</x:v>
      </x:c>
      <x:c r="B33" s="8">
        <x:v>5.2810699999999997E-3</x:v>
      </x:c>
      <x:c r="C33" s="9">
        <x:v>5.3233999999999996E-4</x:v>
      </x:c>
      <x:c r="D33" s="8">
        <x:v>8.0576599999999995E-3</x:v>
      </x:c>
      <x:c r="E33" s="8">
        <x:v>2.5690399999999999E-3</x:v>
      </x:c>
    </x:row>
    <x:row r="34" ht="22.950000762939453" customHeight="1">
      <x:c r="A34" s="4" t="s">
        <x:v>32</x:v>
      </x:c>
      <x:c r="B34" s="10">
        <x:v>3.59931E-2</x:v>
      </x:c>
      <x:c r="C34" s="10">
        <x:v>1.0030799999999999E-2</x:v>
      </x:c>
      <x:c r="D34" s="14" t="s">
        <x:v>33</x:v>
      </x:c>
      <x:c r="E34" s="14" t="s">
        <x:v>33</x:v>
      </x:c>
    </x:row>
    <x:row r="35" ht="22.950000762939453" customHeight="1">
      <x:c r="A35" s="7" t="s">
        <x:v>34</x:v>
      </x:c>
      <x:c r="B35" s="9">
        <x:v>5.5807700000000003E-4</x:v>
      </x:c>
      <x:c r="C35" s="9">
        <x:v>3.7635799999999998E-4</x:v>
      </x:c>
      <x:c r="D35" s="15" t="s">
        <x:v>33</x:v>
      </x:c>
      <x:c r="E35" s="15" t="s">
        <x:v>33</x:v>
      </x:c>
    </x:row>
  </x:sheetData>
  <x:pageMargins left="0.7" right="0.7" top="0.75" bottom="0.75" header="0.3" footer="0.3"/>
  <x:tableParts count="1">
    <x:tablePart xmlns:r="http://schemas.openxmlformats.org/officeDocument/2006/relationships" r:id="Rad6f640296c0491a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3.800000190734863"/>
  <x:cols>
    <x:col min="1" max="1" width="18" customWidth="1"/>
    <x:col min="2" max="2" width="16" customWidth="1"/>
    <x:col min="3" max="3" width="23" customWidth="1"/>
    <x:col min="4" max="4" width="25" customWidth="1"/>
    <x:col min="5" max="5" width="22" customWidth="1"/>
  </x:cols>
  <x:sheetData>
    <x:row r="1" ht="34.04999923706055" customHeight="1">
      <x:c r="A1" s="23" t="s">
        <x:v>35</x:v>
      </x:c>
      <x:c r="B1" s="24" t="s">
        <x:v>36</x:v>
      </x:c>
      <x:c r="C1" s="24" t="s">
        <x:v>37</x:v>
      </x:c>
      <x:c r="D1" s="24" t="s">
        <x:v>38</x:v>
      </x:c>
    </x:row>
    <x:row r="2" ht="25.950000762939453" customHeight="1">
      <x:c r="A2" s="25" t="s">
        <x:v>39</x:v>
      </x:c>
      <x:c r="B2" s="25" t="s">
        <x:v>40</x:v>
      </x:c>
      <x:c r="C2" s="16" t="str">
        <x:f>INDEX(Results!$A$2:$A$35,MATCH(D2,Results!$B$2:$B$35,0))</x:f>
        <x:v>fff_s0</x:v>
      </x:c>
      <x:c r="D2" s="27" t="n">
        <x:f>MIN(Results!$B$2:$B$35)</x:f>
        <x:v>0.000246896</x:v>
      </x:c>
    </x:row>
    <x:row r="3" ht="25.950000762939453" customHeight="1">
      <x:c r="A3" s="26" t="s">
        <x:v>39</x:v>
      </x:c>
      <x:c r="B3" s="26" t="str">
        <x:v>Err_resim (unit²)</x:v>
      </x:c>
      <x:c r="C3" s="17" t="str">
        <x:f>INDEX(Results!$A$2:$A$35,MATCH(D3,Results!$C$2:$C$35,0))</x:f>
        <x:v>fmpe_s0</x:v>
      </x:c>
      <x:c r="D3" s="28" t="n">
        <x:f>MIN(Results!$C$2:$C$35)</x:f>
        <x:v>0.00000273844</x:v>
      </x:c>
    </x:row>
    <x:row r="4" ht="25.950000762939453" customHeight="1">
      <x:c r="A4" s="25" t="s">
        <x:v>41</x:v>
      </x:c>
      <x:c r="B4" s="25" t="s">
        <x:v>40</x:v>
      </x:c>
      <x:c r="C4" s="16" t="str">
        <x:f>INDEX(Results!$A$2:$A$35,MATCH(D4,Results!$D$2:$D$35,0))</x:f>
        <x:v>fif_s0 (MLP)</x:v>
      </x:c>
      <x:c r="D4" s="29" t="n">
        <x:f>MIN(Results!$D$2:$D$35)</x:f>
        <x:v>0.00134009</x:v>
      </x:c>
    </x:row>
    <x:row r="5" ht="25.950000762939453" customHeight="1">
      <x:c r="A5" s="26" t="s">
        <x:v>41</x:v>
      </x:c>
      <x:c r="B5" s="26" t="str">
        <x:v>Err_resim (m²)</x:v>
      </x:c>
      <x:c r="C5" s="17" t="str">
        <x:f>INDEX(Results!$A$2:$A$35,MATCH(D5,Results!$E$2:$E$35,0))</x:f>
        <x:v>cinn_s1</x:v>
      </x:c>
      <x:c r="D5" s="30" t="n">
        <x:f>MIN(Results!$E$2:$E$35)</x:f>
        <x:v>0.0000191541</x:v>
      </x:c>
    </x:row>
  </x:sheetData>
  <x:pageMargins left="0.7" right="0.7" top="0.75" bottom="0.75" header="0.3" footer="0.3"/>
  <x:tableParts count="1">
    <x:tablePart xmlns:r="http://schemas.openxmlformats.org/officeDocument/2006/relationships" r:id="R4965f7bb8e8e4032"/>
  </x:tableParts>
</x:worksheet>
</file>